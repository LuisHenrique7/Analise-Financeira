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<sst xmlns="http://schemas.openxmlformats.org/spreadsheetml/2006/main" count="24" uniqueCount="24">
  <si>
    <t>Ativo</t>
  </si>
  <si>
    <t>Preço Unitário</t>
  </si>
  <si>
    <t>DY</t>
  </si>
  <si>
    <t>Número de Cotas</t>
  </si>
  <si>
    <t>Número de Carteiras</t>
  </si>
  <si>
    <t>Total Investido</t>
  </si>
  <si>
    <t>Número Mágico</t>
  </si>
  <si>
    <t>Renda Mensal</t>
  </si>
  <si>
    <t>Renda Anual</t>
  </si>
  <si>
    <t>BBSE3</t>
  </si>
  <si>
    <t>PETR4</t>
  </si>
  <si>
    <t>TAEE11</t>
  </si>
  <si>
    <t>VALE3</t>
  </si>
  <si>
    <t>HGLG11</t>
  </si>
  <si>
    <t>HTMX11</t>
  </si>
  <si>
    <t>KNCR11</t>
  </si>
  <si>
    <t>XPCI11</t>
  </si>
  <si>
    <t>XPML11</t>
  </si>
  <si>
    <t>EMBR3</t>
  </si>
  <si>
    <t>GOAU3</t>
  </si>
  <si>
    <t>RAIL3</t>
  </si>
  <si>
    <t>SUZB3</t>
  </si>
  <si>
    <t>WEGE3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</si>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</sst>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5" fillId="0" fontId="1" numFmtId="10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" xfId="0" applyAlignment="1" applyBorder="1" applyFont="1" applyNumberFormat="1">
      <alignment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8" fillId="0" fontId="1" numFmtId="10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" xfId="0" applyAlignment="1" applyBorder="1" applyFont="1" applyNumberFormat="1">
      <alignment shrinkToFit="0" vertical="center" wrapText="0"/>
    </xf>
    <xf borderId="9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5" fillId="0" fontId="1" numFmtId="10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1" xfId="0" applyAlignment="1" applyBorder="1" applyFont="1" applyNumberFormat="1">
      <alignment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164" xfId="0" applyAlignment="1" applyBorder="1" applyFont="1" applyNumberFormat="1">
      <alignment shrinkToFit="0" vertical="center" wrapText="0"/>
    </xf>
    <xf borderId="11" fillId="0" fontId="2" numFmtId="10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1" xfId="0" applyAlignment="1" applyBorder="1" applyFont="1" applyNumberFormat="1">
      <alignment shrinkToFit="0" vertical="center" wrapText="0"/>
    </xf>
    <xf borderId="12" fillId="0" fontId="2" numFmtId="16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7" displayName="Tabela_1" name="Tabela_1" id="1">
  <tableColumns count="9">
    <tableColumn name="Ativo" id="1"/>
    <tableColumn name="Preço Unitário" id="2"/>
    <tableColumn name="DY" id="3"/>
    <tableColumn name="Número de Cotas" id="4"/>
    <tableColumn name="Número de Carteiras" id="5"/>
    <tableColumn name="Total Investido" id="6"/>
    <tableColumn name="Número Mágico" id="7"/>
    <tableColumn name="Renda Mensal" id="8"/>
    <tableColumn name="Renda Anual" id="9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25"/>
    <col customWidth="1" min="4" max="4" width="21.75"/>
    <col customWidth="1" min="5" max="5" width="20.88"/>
    <col customWidth="1" min="6" max="6" width="19.63"/>
    <col customWidth="1" min="7" max="7" width="20.63"/>
    <col customWidth="1" min="8" max="8" width="19.25"/>
    <col customWidth="1" min="9" max="9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>
        <f>IFERROR(__xludf.DUMMYFUNCTION("GOOGLEFINANCE(CONCAT(""BVMF:"",A2))"),32.01)</f>
        <v>32.01</v>
      </c>
      <c r="C2" s="6">
        <v>0.1333</v>
      </c>
      <c r="D2" s="7">
        <v>1.0</v>
      </c>
      <c r="E2" s="8">
        <v>1.0</v>
      </c>
      <c r="F2" s="5">
        <f> B2 * D2 * E2</f>
        <v>32.01</v>
      </c>
      <c r="G2" s="9">
        <f t="shared" ref="G2:G15" si="1"> 12 / C2</f>
        <v>90.02250563</v>
      </c>
      <c r="H2" s="5">
        <f> B2 * (C2 / 12) * D2 * E2</f>
        <v>0.35557775</v>
      </c>
      <c r="I2" s="10">
        <f> B2 * C2 * D2 * E2</f>
        <v>4.266933</v>
      </c>
    </row>
    <row r="3">
      <c r="A3" s="11" t="s">
        <v>10</v>
      </c>
      <c r="B3" s="12">
        <f>IFERROR(__xludf.DUMMYFUNCTION("GOOGLEFINANCE(CONCAT(""BVMF:"",A3))"),29.87)</f>
        <v>29.87</v>
      </c>
      <c r="C3" s="13">
        <v>0.1758</v>
      </c>
      <c r="D3" s="14">
        <v>10.0</v>
      </c>
      <c r="F3" s="12">
        <f> B3 * D3 * E2</f>
        <v>298.7</v>
      </c>
      <c r="G3" s="15">
        <f t="shared" si="1"/>
        <v>68.25938567</v>
      </c>
      <c r="H3" s="12">
        <f> B3 * (C3 / 12) * D3 * E2</f>
        <v>4.375955</v>
      </c>
      <c r="I3" s="16">
        <f> B3 * C3 * D3 * E2</f>
        <v>52.51146</v>
      </c>
    </row>
    <row r="4">
      <c r="A4" s="4" t="s">
        <v>11</v>
      </c>
      <c r="B4" s="5">
        <f>IFERROR(__xludf.DUMMYFUNCTION("GOOGLEFINANCE(CONCAT(""BVMF:"",A4))"),36.35)</f>
        <v>36.35</v>
      </c>
      <c r="C4" s="6">
        <v>0.0819</v>
      </c>
      <c r="D4" s="7">
        <v>1.0</v>
      </c>
      <c r="F4" s="5">
        <f> B4 * D4 * E2</f>
        <v>36.35</v>
      </c>
      <c r="G4" s="9">
        <f t="shared" si="1"/>
        <v>146.5201465</v>
      </c>
      <c r="H4" s="5">
        <f> B4 * (C4 / 12) * D4 * E2</f>
        <v>0.24808875</v>
      </c>
      <c r="I4" s="10">
        <f> B4 * C4 * D4 * E2</f>
        <v>2.977065</v>
      </c>
    </row>
    <row r="5">
      <c r="A5" s="11" t="s">
        <v>12</v>
      </c>
      <c r="B5" s="12">
        <f>IFERROR(__xludf.DUMMYFUNCTION("GOOGLEFINANCE(CONCAT(""BVMF:"",A5))"),60.86)</f>
        <v>60.86</v>
      </c>
      <c r="C5" s="13">
        <v>0.0752</v>
      </c>
      <c r="D5" s="14">
        <v>1.0</v>
      </c>
      <c r="F5" s="12">
        <f> B5 * D5 * E2</f>
        <v>60.86</v>
      </c>
      <c r="G5" s="15">
        <f t="shared" si="1"/>
        <v>159.5744681</v>
      </c>
      <c r="H5" s="12">
        <f> B5 * (C5 / 12) * D5 * E2</f>
        <v>0.3813893333</v>
      </c>
      <c r="I5" s="16">
        <f> B5 * C5 * D5 * E2</f>
        <v>4.576672</v>
      </c>
    </row>
    <row r="6">
      <c r="A6" s="4" t="s">
        <v>13</v>
      </c>
      <c r="B6" s="5">
        <f>IFERROR(__xludf.DUMMYFUNCTION("GOOGLEFINANCE(CONCAT(""BVMF:"",A6))"),160.54)</f>
        <v>160.54</v>
      </c>
      <c r="C6" s="6">
        <v>0.0824</v>
      </c>
      <c r="D6" s="7">
        <v>1.0</v>
      </c>
      <c r="F6" s="5">
        <f> B6 * D6 * E2</f>
        <v>160.54</v>
      </c>
      <c r="G6" s="9">
        <f t="shared" si="1"/>
        <v>145.631068</v>
      </c>
      <c r="H6" s="5">
        <f> B6 * (C6 / 12) * D6 * E2</f>
        <v>1.102374667</v>
      </c>
      <c r="I6" s="10">
        <f> B6 * C6 * D6 * E2</f>
        <v>13.228496</v>
      </c>
    </row>
    <row r="7">
      <c r="A7" s="11" t="s">
        <v>14</v>
      </c>
      <c r="B7" s="12">
        <f>IFERROR(__xludf.DUMMYFUNCTION("GOOGLEFINANCE(CONCAT(""BVMF:"",A7))"),137.14)</f>
        <v>137.14</v>
      </c>
      <c r="C7" s="13">
        <v>0.1496</v>
      </c>
      <c r="D7" s="14">
        <v>1.0</v>
      </c>
      <c r="F7" s="12">
        <f> B7 * D7 * E2</f>
        <v>137.14</v>
      </c>
      <c r="G7" s="15">
        <f t="shared" si="1"/>
        <v>80.21390374</v>
      </c>
      <c r="H7" s="12">
        <f> B7 * (C7 / 12) * D7 * E2</f>
        <v>1.709678667</v>
      </c>
      <c r="I7" s="16">
        <f> B7 * C7 * D7 * E2</f>
        <v>20.516144</v>
      </c>
    </row>
    <row r="8">
      <c r="A8" s="4" t="s">
        <v>15</v>
      </c>
      <c r="B8" s="5">
        <f>IFERROR(__xludf.DUMMYFUNCTION("GOOGLEFINANCE(CONCAT(""BVMF:"",A8))"),104.31)</f>
        <v>104.31</v>
      </c>
      <c r="C8" s="6">
        <v>0.1317</v>
      </c>
      <c r="D8" s="7">
        <v>1.0</v>
      </c>
      <c r="F8" s="5">
        <f> B8 * D8 * E2</f>
        <v>104.31</v>
      </c>
      <c r="G8" s="9">
        <f t="shared" si="1"/>
        <v>91.11617312</v>
      </c>
      <c r="H8" s="5">
        <f> B8 * (C8 / 12) * D8 * E2</f>
        <v>1.14480225</v>
      </c>
      <c r="I8" s="10">
        <f> B8 * C8 * D8 * E2</f>
        <v>13.737627</v>
      </c>
    </row>
    <row r="9">
      <c r="A9" s="11" t="s">
        <v>16</v>
      </c>
      <c r="B9" s="12">
        <f>IFERROR(__xludf.DUMMYFUNCTION("GOOGLEFINANCE(CONCAT(""BVMF:"",A9))"),84.12)</f>
        <v>84.12</v>
      </c>
      <c r="C9" s="13">
        <v>0.1272</v>
      </c>
      <c r="D9" s="14">
        <v>1.0</v>
      </c>
      <c r="F9" s="12">
        <f> B9 * D9 * E2</f>
        <v>84.12</v>
      </c>
      <c r="G9" s="15">
        <f t="shared" si="1"/>
        <v>94.33962264</v>
      </c>
      <c r="H9" s="12">
        <f> B9 * (C9 / 12) * D9 * E2</f>
        <v>0.891672</v>
      </c>
      <c r="I9" s="16">
        <f> B9 * C9 * D9 * E2</f>
        <v>10.700064</v>
      </c>
    </row>
    <row r="10">
      <c r="A10" s="4" t="s">
        <v>17</v>
      </c>
      <c r="B10" s="5">
        <f>IFERROR(__xludf.DUMMYFUNCTION("GOOGLEFINANCE(CONCAT(""BVMF:"",A10))"),106.44)</f>
        <v>106.44</v>
      </c>
      <c r="C10" s="6">
        <v>0.1044</v>
      </c>
      <c r="D10" s="7">
        <v>1.0</v>
      </c>
      <c r="F10" s="5">
        <f> B10 * D10 * E2</f>
        <v>106.44</v>
      </c>
      <c r="G10" s="9">
        <f t="shared" si="1"/>
        <v>114.9425287</v>
      </c>
      <c r="H10" s="5">
        <f> B10 * (C10 / 12) * D10 * E2</f>
        <v>0.926028</v>
      </c>
      <c r="I10" s="10">
        <f> B10 * C10 * D10 * E2</f>
        <v>11.112336</v>
      </c>
    </row>
    <row r="11">
      <c r="A11" s="11" t="s">
        <v>18</v>
      </c>
      <c r="B11" s="12">
        <f>IFERROR(__xludf.DUMMYFUNCTION("GOOGLEFINANCE(CONCAT(""BVMF:"",A11))"),81.32)</f>
        <v>81.32</v>
      </c>
      <c r="C11" s="13">
        <v>9.0E-4</v>
      </c>
      <c r="D11" s="14">
        <v>1.0</v>
      </c>
      <c r="E11" s="17">
        <v>1.0</v>
      </c>
      <c r="F11" s="12">
        <f> B11 * D11 * E11</f>
        <v>81.32</v>
      </c>
      <c r="G11" s="15">
        <f t="shared" si="1"/>
        <v>13333.33333</v>
      </c>
      <c r="H11" s="12">
        <f> B11 * (C11 / 12) * D11 * E11</f>
        <v>0.006099</v>
      </c>
      <c r="I11" s="16">
        <f> B11 * C11 * D11 * E11</f>
        <v>0.073188</v>
      </c>
    </row>
    <row r="12">
      <c r="A12" s="4" t="s">
        <v>19</v>
      </c>
      <c r="B12" s="5">
        <f>IFERROR(__xludf.DUMMYFUNCTION("GOOGLEFINANCE(CONCAT(""BVMF:"",A12))"),10.4)</f>
        <v>10.4</v>
      </c>
      <c r="C12" s="6">
        <v>0.0327</v>
      </c>
      <c r="D12" s="7">
        <v>3.0</v>
      </c>
      <c r="F12" s="5">
        <f> B12 * D12 * E11</f>
        <v>31.2</v>
      </c>
      <c r="G12" s="9">
        <f t="shared" si="1"/>
        <v>366.9724771</v>
      </c>
      <c r="H12" s="5">
        <f> B12 * (C12 / 12) * D12 * E11</f>
        <v>0.08502</v>
      </c>
      <c r="I12" s="10">
        <f> B12 * C12 * D12 * E11</f>
        <v>1.02024</v>
      </c>
    </row>
    <row r="13">
      <c r="A13" s="11" t="s">
        <v>20</v>
      </c>
      <c r="B13" s="12">
        <f>IFERROR(__xludf.DUMMYFUNCTION("GOOGLEFINANCE(CONCAT(""BVMF:"",A13))"),15.59)</f>
        <v>15.59</v>
      </c>
      <c r="C13" s="13">
        <v>0.0522</v>
      </c>
      <c r="D13" s="14">
        <v>2.0</v>
      </c>
      <c r="F13" s="12">
        <f> B13 * D13 * E11</f>
        <v>31.18</v>
      </c>
      <c r="G13" s="15">
        <f t="shared" si="1"/>
        <v>229.8850575</v>
      </c>
      <c r="H13" s="12">
        <f> B13 * (C13 / 12) * D13 * E11</f>
        <v>0.135633</v>
      </c>
      <c r="I13" s="16">
        <f> B13 * C13 * D13 * E11</f>
        <v>1.627596</v>
      </c>
    </row>
    <row r="14">
      <c r="A14" s="4" t="s">
        <v>21</v>
      </c>
      <c r="B14" s="5">
        <f>IFERROR(__xludf.DUMMYFUNCTION("GOOGLEFINANCE(CONCAT(""BVMF:"",A14))"),47.72)</f>
        <v>47.72</v>
      </c>
      <c r="C14" s="6">
        <v>0.0424</v>
      </c>
      <c r="D14" s="7">
        <v>1.0</v>
      </c>
      <c r="F14" s="5">
        <f> B14 * D14 * E11</f>
        <v>47.72</v>
      </c>
      <c r="G14" s="9">
        <f t="shared" si="1"/>
        <v>283.0188679</v>
      </c>
      <c r="H14" s="5">
        <f> B14 * (C14 / 12) * D14 * E11</f>
        <v>0.1686106667</v>
      </c>
      <c r="I14" s="10">
        <f> B14 * C14 * D14 * E11</f>
        <v>2.023328</v>
      </c>
    </row>
    <row r="15">
      <c r="A15" s="11" t="s">
        <v>22</v>
      </c>
      <c r="B15" s="12">
        <f>IFERROR(__xludf.DUMMYFUNCTION("GOOGLEFINANCE(CONCAT(""BVMF:"",A15))"),37.59)</f>
        <v>37.59</v>
      </c>
      <c r="C15" s="13">
        <v>0.0224</v>
      </c>
      <c r="D15" s="14">
        <v>3.0</v>
      </c>
      <c r="F15" s="12">
        <f> B15 * D15 * E11</f>
        <v>112.77</v>
      </c>
      <c r="G15" s="15">
        <f t="shared" si="1"/>
        <v>535.7142857</v>
      </c>
      <c r="H15" s="12">
        <f> B15 * (C15 / 12) * D15 * E11</f>
        <v>0.210504</v>
      </c>
      <c r="I15" s="16">
        <f> B15 * C15 * D15 * E11</f>
        <v>2.526048</v>
      </c>
    </row>
    <row r="16">
      <c r="A16" s="18"/>
      <c r="B16" s="19"/>
      <c r="C16" s="20"/>
      <c r="D16" s="21"/>
      <c r="E16" s="22"/>
      <c r="F16" s="19"/>
      <c r="G16" s="23"/>
      <c r="H16" s="19"/>
      <c r="I16" s="24"/>
    </row>
    <row r="17">
      <c r="A17" s="25" t="s">
        <v>23</v>
      </c>
      <c r="B17" s="26"/>
      <c r="C17" s="27"/>
      <c r="D17" s="28"/>
      <c r="E17" s="29"/>
      <c r="F17" s="26">
        <f> SUM(F2:F15)</f>
        <v>1324.66</v>
      </c>
      <c r="G17" s="30"/>
      <c r="H17" s="26">
        <f t="shared" ref="H17:I17" si="2"> SUM(H2:H15)</f>
        <v>11.74143308</v>
      </c>
      <c r="I17" s="31">
        <f t="shared" si="2"/>
        <v>140.897197</v>
      </c>
    </row>
  </sheetData>
  <dataValidations>
    <dataValidation type="custom" allowBlank="1" showDropDown="1" sqref="B2:D17 F2:I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