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<sst xmlns="http://schemas.openxmlformats.org/spreadsheetml/2006/main" count="17" uniqueCount="12">
  <si>
    <t xml:space="preserve">Capital Inicial</t>
  </si>
  <si>
    <t xml:space="preserve">Taxa Anual</t>
  </si>
  <si>
    <t xml:space="preserve">Taxa Mensal</t>
  </si>
  <si>
    <t xml:space="preserve">Tempo Anos</t>
  </si>
  <si>
    <t xml:space="preserve">Tempo Meses</t>
  </si>
  <si>
    <t xml:space="preserve">Total</t>
  </si>
  <si>
    <t xml:space="preserve">Aportes</t>
  </si>
  <si>
    <t xml:space="preserve">Total Investido</t>
  </si>
  <si>
    <t xml:space="preserve">Inicial composto</t>
  </si>
  <si>
    <t xml:space="preserve">Aportes composto</t>
  </si>
  <si>
    <t xml:space="preserve">Total Final</t>
  </si>
  <si>
    <t xml:space="preserve">Ganho com Juros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</si>
</sst>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Totais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226201637602"/>
          <c:y val="0.145793977108568"/>
          <c:w val="0.861241327582974"/>
          <c:h val="0.7436381820202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Planilha1!$F$9:$F$13</c:f>
              <c:strCache>
                <c:ptCount val="5"/>
                <c:pt idx="0">
                  <c:v>Total Investido</c:v>
                </c:pt>
                <c:pt idx="1">
                  <c:v>Inicial composto</c:v>
                </c:pt>
                <c:pt idx="2">
                  <c:v>Aportes composto</c:v>
                </c:pt>
                <c:pt idx="3">
                  <c:v>Total Final</c:v>
                </c:pt>
                <c:pt idx="4">
                  <c:v>Ganho com Juros</c:v>
                </c:pt>
              </c:strCache>
            </c:strRef>
          </c:cat>
          <c:val>
            <c:numRef>
              <c:f>Planilha1!$G$9:$G$13</c:f>
              <c:numCache>
                <c:formatCode>General</c:formatCode>
                <c:ptCount val="5"/>
                <c:pt idx="0">
                  <c:v>10000</c:v>
                </c:pt>
                <c:pt idx="1">
                  <c:v>29891.496030093</c:v>
                </c:pt>
                <c:pt idx="2">
                  <c:v>0</c:v>
                </c:pt>
                <c:pt idx="3">
                  <c:v>29891.496030093</c:v>
                </c:pt>
                <c:pt idx="4">
                  <c:v>19891.496030093</c:v>
                </c:pt>
              </c:numCache>
            </c:numRef>
          </c:val>
        </c:ser>
        <c:gapWidth val="100"/>
        <c:overlap val="0"/>
        <c:axId val="24290677"/>
        <c:axId val="41603724"/>
      </c:barChart>
      <c:catAx>
        <c:axId val="242906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603724"/>
        <c:crosses val="autoZero"/>
        <c:auto val="1"/>
        <c:lblAlgn val="ctr"/>
        <c:lblOffset val="100"/>
        <c:noMultiLvlLbl val="0"/>
      </c:catAx>
      <c:valAx>
        <c:axId val="416037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429067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36000</xdr:colOff>
      <xdr:row>9</xdr:row>
      <xdr:rowOff>18720</xdr:rowOff>
    </xdr:from>
    <xdr:to>
      <xdr:col>16</xdr:col>
      <xdr:colOff>326880</xdr:colOff>
      <xdr:row>29</xdr:row>
      <xdr:rowOff>9000</xdr:rowOff>
    </xdr:to>
    <xdr:graphicFrame>
      <xdr:nvGraphicFramePr>
        <xdr:cNvPr id="0" name=""/>
        <xdr:cNvGraphicFramePr/>
      </xdr:nvGraphicFramePr>
      <xdr:xfrm>
        <a:off x="6984000" y="1481760"/>
        <a:ext cx="679356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8" activeCellId="0" sqref="R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07"/>
    <col collapsed="false" customWidth="true" hidden="false" outlineLevel="0" max="6" min="6" style="0" width="16.31"/>
  </cols>
  <sheetData>
    <row r="2" customFormat="false" ht="12.8" hidden="false" customHeight="false" outlineLevel="0" collapsed="false">
      <c r="A2" s="0" t="s">
        <v>0</v>
      </c>
      <c r="B2" s="1" t="n">
        <v>5000</v>
      </c>
      <c r="F2" s="0" t="s">
        <v>0</v>
      </c>
      <c r="G2" s="1" t="n">
        <v>10000</v>
      </c>
    </row>
    <row r="3" customFormat="false" ht="12.8" hidden="false" customHeight="false" outlineLevel="0" collapsed="false">
      <c r="A3" s="0" t="s">
        <v>1</v>
      </c>
      <c r="B3" s="2" t="n">
        <v>0.12</v>
      </c>
      <c r="F3" s="0" t="s">
        <v>1</v>
      </c>
      <c r="G3" s="2" t="n">
        <v>0.11</v>
      </c>
    </row>
    <row r="4" customFormat="false" ht="12.8" hidden="false" customHeight="false" outlineLevel="0" collapsed="false">
      <c r="A4" s="0" t="s">
        <v>2</v>
      </c>
      <c r="B4" s="2" t="n">
        <f aca="false"> B3 / 12</f>
        <v>0.01</v>
      </c>
      <c r="F4" s="0" t="s">
        <v>2</v>
      </c>
      <c r="G4" s="2" t="n">
        <f aca="false"> G3 / 12</f>
        <v>0.00916666666666667</v>
      </c>
    </row>
    <row r="5" customFormat="false" ht="12.8" hidden="false" customHeight="false" outlineLevel="0" collapsed="false">
      <c r="A5" s="0" t="s">
        <v>3</v>
      </c>
      <c r="B5" s="3" t="n">
        <v>10</v>
      </c>
      <c r="F5" s="0" t="s">
        <v>3</v>
      </c>
      <c r="G5" s="3" t="n">
        <v>10</v>
      </c>
    </row>
    <row r="6" customFormat="false" ht="12.8" hidden="false" customHeight="false" outlineLevel="0" collapsed="false">
      <c r="A6" s="0" t="s">
        <v>4</v>
      </c>
      <c r="B6" s="3" t="n">
        <f aca="false"> B5 * 12</f>
        <v>120</v>
      </c>
      <c r="F6" s="0" t="s">
        <v>4</v>
      </c>
      <c r="G6" s="3" t="n">
        <f aca="false"> G5 * 12</f>
        <v>120</v>
      </c>
    </row>
    <row r="7" customFormat="false" ht="12.8" hidden="false" customHeight="false" outlineLevel="0" collapsed="false">
      <c r="A7" s="0" t="s">
        <v>5</v>
      </c>
      <c r="B7" s="1" t="n">
        <f aca="false"> B2 * ((1 + B4) ^ B6)</f>
        <v>16501.9344728683</v>
      </c>
      <c r="F7" s="0" t="s">
        <v>6</v>
      </c>
      <c r="G7" s="1" t="n">
        <v>0</v>
      </c>
    </row>
    <row r="9" customFormat="false" ht="12.8" hidden="false" customHeight="false" outlineLevel="0" collapsed="false">
      <c r="F9" s="0" t="s">
        <v>7</v>
      </c>
      <c r="G9" s="1" t="n">
        <f aca="false"> G2 + (G7 * G6)</f>
        <v>10000</v>
      </c>
    </row>
    <row r="10" customFormat="false" ht="12.8" hidden="false" customHeight="false" outlineLevel="0" collapsed="false">
      <c r="F10" s="0" t="s">
        <v>8</v>
      </c>
      <c r="G10" s="1" t="n">
        <f aca="false"> G2 * ((1 + G4) ^ G6)</f>
        <v>29891.496030093</v>
      </c>
    </row>
    <row r="11" customFormat="false" ht="12.8" hidden="false" customHeight="false" outlineLevel="0" collapsed="false">
      <c r="F11" s="0" t="s">
        <v>9</v>
      </c>
      <c r="G11" s="1" t="n">
        <f aca="false"> G7 * ((((1 + G4) ^ G6) - 1) / G4)</f>
        <v>0</v>
      </c>
    </row>
    <row r="12" customFormat="false" ht="12.8" hidden="false" customHeight="false" outlineLevel="0" collapsed="false">
      <c r="F12" s="0" t="s">
        <v>10</v>
      </c>
      <c r="G12" s="1" t="n">
        <f aca="false"> G10 + G11</f>
        <v>29891.496030093</v>
      </c>
    </row>
    <row r="13" customFormat="false" ht="12.8" hidden="false" customHeight="false" outlineLevel="0" collapsed="false">
      <c r="F13" s="0" t="s">
        <v>11</v>
      </c>
      <c r="G13" s="1" t="n">
        <f aca="false"> G12 - G9</f>
        <v>19891.496030093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2025-10-10T09:59:58Z</dcterms:created>
  <dc:creator/>
  <dc:description/>
  <dc:language>pt-BR</dc:language>
  <cp:lastModifiedBy/>
  <dcterms:modified xsi:type="dcterms:W3CDTF">2025-10-10T11:14:10Z</dcterms:modified>
  <cp:revision>11</cp:revision>
  <dc:subject/>
  <dc:title/>
</cp:coreProperties>
</file>